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code.yaml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tc={7327dae0-f393-4719-bffc-d9716a35282a}</author>
    <author>tc={fec01b6d-0c26-4d72-a930-8ec31325fd50}</author>
  </authors>
  <commentList>
    <comment authorId="0" xr:uid="{7327dae0-f393-4719-bffc-d9716a35282a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doesn't matter that it changes - the goal here is to have a big enough OSL so the grafana throughput plot is stable
</t>
      </text>
    </comment>
    <comment authorId="1" xr:uid="{fec01b6d-0c26-4d72-a930-8ec31325fd50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Each GPU is running these many requests.
</t>
      </text>
    </comment>
  </commentList>
</comments>
</file>

<file path=xl/sharedStrings.xml><?xml version="1.0" encoding="utf-8"?>
<sst xmlns="http://schemas.openxmlformats.org/spreadsheetml/2006/main" count="23" uniqueCount="23">
  <si>
    <t>NO PREFILL NODES - Benchmarks carried out with Decode Bench Connector</t>
  </si>
  <si>
    <r>
      <rPr>
        <color rgb="FF000000"/>
      </rPr>
      <t xml:space="preserve">llm-d branch : </t>
    </r>
    <r>
      <rPr>
        <color rgb="FF000000"/>
        <u/>
      </rPr>
      <t>https://github.com/tlrmchlsmth/llm-d/tree/varun/rocm_wide_ep-benchmarking</t>
    </r>
  </si>
  <si>
    <r>
      <rPr>
        <color rgb="FF000000"/>
      </rPr>
      <t xml:space="preserve">vllm-branch : </t>
    </r>
    <r>
      <rPr>
        <color rgb="FF000000"/>
        <u/>
      </rPr>
      <t>https://github.com/tlrmchlsmth/vllm/tree/rocm_wide_ep</t>
    </r>
  </si>
  <si>
    <r>
      <rPr>
        <color rgb="FF000000"/>
      </rPr>
      <t xml:space="preserve">vllm image : </t>
    </r>
    <r>
      <rPr>
        <color rgb="FF000000"/>
        <u/>
      </rPr>
      <t>quay.io/rh-ee-vsundarr/amd-vllm:rebase-dp-eplb-fix</t>
    </r>
  </si>
  <si>
    <t>Model = Deepseek R1</t>
  </si>
  <si>
    <t xml:space="preserve">mc = Max Concurrency </t>
  </si>
  <si>
    <t>num bench clients</t>
  </si>
  <si>
    <t>Decode Nodes</t>
  </si>
  <si>
    <t>#gpus</t>
  </si>
  <si>
    <t>mc / gpu</t>
  </si>
  <si>
    <t xml:space="preserve">total mc </t>
  </si>
  <si>
    <t>mc per client</t>
  </si>
  <si>
    <t>ISL</t>
  </si>
  <si>
    <t>OSL</t>
  </si>
  <si>
    <t>Max generation throughput</t>
  </si>
  <si>
    <t>TPS per Node</t>
  </si>
  <si>
    <t>TPSG</t>
  </si>
  <si>
    <t>TPSU</t>
  </si>
  <si>
    <t>mean itl (ms)</t>
  </si>
  <si>
    <t>comment</t>
  </si>
  <si>
    <t>240 *</t>
  </si>
  <si>
    <t>request preemtion due to high kv cache util case.</t>
  </si>
  <si>
    <t>apiVersion: leaderworkerset.x-k8s.io/v1
kind: LeaderWorkerSet
metadata:
  name: wide-ep-llm-d-decode
  labels:
    llm-d.ai/inferenceServing: "true"
    llm-d.ai/model: Qwen3-30B-A3B-FP8
    llm-d.ai/role: decode
spec:
  replicas: 1
  leaderWorkerTemplate:
    size: 6
    workerTemplate:
      metadata:
        labels:
          llm-d.ai/inferenceServing: "true"
          llm-d.ai/model: Qwen3-30B-A3B-FP8
          llm-d.ai/role: decode
      spec:
        #affinity:
        #  nodeAffinity:
        #    requiredDuringSchedulingIgnoredDuringExecution:
        #      nodeSelectorTerms:
        #        - matchExpressions:
        #            - key: kubernetes.io/hostname
        #              operator: In
        #              values:
        #                - 10.0.65.77   # replace with your decode node names
        #                - 10.0.73.3
        dnsPolicy: ClusterFirstWithHostNet
        hostNetwork: true
        serviceAccountName: qwen
        initContainers:
          - name: routing-proxy
            args:
              - --port=8000
              - --vllm-port=8200
              - --connector=nixlv2
              - --zap-log-level=1
              - --secure-proxy=false
              - --enable-prefiller-sampling
            image: ghcr.io/llm-d/llm-d-routing-sidecar:v0.4.0-rc.1
            imagePullPolicy: Always
            ports:
              - containerPort: 8000
                name: sidecar
                protocol: TCP
            resources: {}
            restartPolicy: Always
            securityContext:
              allowPrivilegeEscalation: false
              runAsNonRoot: true
        volumes:
          - name: dshm
            emptyDir:
              medium: Memory
              sizeLimit: 6Gi # roughly 32MB per local DP plus scratch space
          - name: hf-cache
            emptyDir: {}
          - name: jit-cache
            emptyDir: {}
          - name: devinf
            hostPath:
              path: /dev/infiniband
          - name: model-storage
            hostPath:
              path: /mnt/nvme/models
              type: Directory
          - name: aiter-cache
            hostPath:
              path: /mnt/nvme/cache
              type: Directory
        containers:
        - name: vllm
          #image: quay.io/rh-ee-vsundarr/amd-vllm:latest
          image: quay.io/rh-ee-vsundarr/amd-vllm:rebase-dp-eplb-fix
          securityContext:
            privileged: true # FIXME(varun)
            capabilities:
              add:
              - IPC_LOCK
              - CAP_SYS_ADMIN # FIXME (varun)
            runAsGroup: 0
            runAsUser: 0
          imagePullPolicy: Always
          command:
            - /bin/bash
            - -c
          args:
            - |-
              # Clear /dev/shm on start to prevent running out of space when crashes occur
              # https://github.com/llm-d/llm-d/issues/352
              find /dev/shm -type f -delete
              #################
              # RUN vLLM decode worker
              #################
              START_RANK=$(( ${LWS_WORKER_INDEX:-0} * DP_SIZE_LOCAL ))
              # --data-parallel-hybrid-lb: Use exernal load balancing across nodes, and internal load balancing within a node
              # --enable-expert-parallel:  Use TPxDP in attention, EP in MoE layers
              # --async-scheduling: Reduce white space between engine steps
              # --enable-dbo:  Dual batch overlap (DBO) overlaps compute with collective communication.
              # --enable-eplb: Expert-parallel load balancing reduces EP load imbalance by replicating heavily-used experts Performance-memory tradeoff: on DeepSeekV3 eplb uses an extra 2GB per redundant expert per GPU Divisibility constraint: num_routed_experts (256 for DSv3) + num_redundant_experts must be divisible by the number of GPUs.
              # TODO (varun) : Investigate DBO enablement
              # TODO (varun) : Use Mistral's default max-model-len
              exec vllm serve \
                /mnt/models/deepseek-ai/DeepSeek-R1-0528 \
                --served-model-name deepseek-ai/DeepSeek-R1-0528 \
                --all2all-backend mori \
                --port 8200 \
                --trust-remote-code \
                --disable-uvicorn-access-log \
                --data-parallel-hybrid-lb \
                --enable-expert-parallel \
                --tensor-parallel-size $TP_SIZE \
                --data-parallel-size $((LWS_GROUP_SIZE * DP_SIZE_LOCAL)) \
                --data-parallel-size-local $DP_SIZE_LOCAL \
                --data-parallel-address ${LWS_LEADER_ADDRESS} \
                --data-parallel-rpc-port 5555 \
                --data-parallel-start-rank $START_RANK \
                --kv-transfer-config '{
                    "kv_connector": "DecodeBenchConnector",
                    "kv_role": "kv_both",
                    "kv_connector_extra_config": {
                        "fill_mean": 0.015,
                        "fill_std": 0.0
                    }
                }' \
                --enable-eplb \
                --eplb-config '{"window_size":"5000",
                                "step_interval":"50000",
                                "num_redundant_experts":"32",
                                "log_balancedness":"False",
                                "use_async": "True",
                                "num_communication_groups": "4",
                                "communication_experts_batch_size":"32"}' \
                --async-scheduling \
                --compilation_config '{"cudagraph_mode": "FULL_DECODE_ONLY"}' \
                --block-size 1 \
                --api-server-count 1 \
                --kv-cache-memory-bytes=${KV_CACHE_MEMORY_BYTES-} \
                --gpu-memory-utilization 0.70
          env:
          # VLLM_MOE_DP_CHUNK_SIZE is a tunable parameter.
          # Higher values increase the memory footprint of the hidden states in the MoE layers,
          # which decreases the available memory for KV Cache.
          # Lower values may cause poor performance, especially in load-imbalanced scenarios.
          # The value 384 was chosen to be greater than the concurrency expected to see on any DP rank.
          # If you increase the VLLM_MOE_DP_CHUNK_SIZE above 510 you will also need to increase the
          # default NVSHMEM_QP_DEPTH to be at least 2 * (chunk_size + 1), which will increase the
          # memory NVSHMEM allocates up front.
          # Has no effect when VLLM_ALL2ALL_BACKEND=deepep_high_throughput.
          - name: VLLM_HTTP_TIMEOUT_KEEP_ALIVE
            value: "60"
          - name: VLLM_ENGINE_READY_TIMEOUT_S
            value: "1200"
          - name: VLLM_MOE_DP_CHUNK_SIZE
            value: "384" # vLLM default is 256
          - name: DP_SIZE_LOCAL
            value: "8"
          - name: TP_SIZE
            value: "1"
          - name: TRITON_LIBCUDA_PATH
            value: /usr/lib64
          - name: VLLM_SKIP_P2P_CHECK
            value: "1"
          - name: VLLM_RANDOMIZE_DP_DUMMY_INPUTS
            value: "1"
          - name: VLLM_USE_DEEP_GEMM
            value: "0"
          - name: NVIDIA_GDRCOPY
            value: enabled
          - name: NVSHMEM_REMOTE_TRANSPORT
            value: ibgda
          - name: NVSHMEM_IB_ENABLE_IBGDA
            value: "true"
          - name: NVSHMEM_BOOTSTRAP_UID_SOCK_IFNAME
            value: eth0
          - name: GLOO_SOCKET_IFNAME
            value: eth0
          - name: NCCL_SOCKET_IFNAME
            value: eth0
          - name: VLLM_LOGGING_LEVEL
            value: INFO
          # TODO (varun) - the following env var list could be pruned
          - name: ROCSHMEM_HCA_LIST
            value: "mlx5_0,mlx5_2,mlx5_3,mlx5_4,mlx5_5,mlx5_7,mlx5_8,mlx5_9"
          - name: ROCSHMEM_BACKEND
            value: "gda"
          - name: ROCSHMEM_GDA_TRAFFIC_CLASS
            value: "41"
          # Nixl
          - name: UCX_NET_DEVICES 
            value: "mlx5_0:1,mlx5_2:1,mlx5_3:1,mlx5_4:1,mlx5_5:1,mlx5_7:1,mlx5_8:1,mlx5_9:1"
          - name: UCX_IB_GID_INDEX
            value: "3"
          - name: UCX_IB_TRAFFIC_CLASS
            value: "41"
          # MORI
          - name: MORI_RDMA_DEVICES 
            value: "mlx5_0,mlx5_2,mlx5_3,mlx5_4,mlx5_5,mlx5_7,mlx5_8,mlx5_9"
          - name: MORI_IB_GID_INDEX
            value: "3"
          - name: NCCL_CUMEM_ENABLE
            value: "0"
          - name: NCCL_IB_TIMEOUT
            value: "22"
          - name: NCCL_IB_SL
            value: "0"
          - name: NCCL_IB_TC
            value: "41"
          - name: NCCL_IB_GID_INDEX
            value: "3"
          - name: NCCL_DEBUG
            value: WARN
          - name: NCCL_IB_QPS_PER_CONNECTION
            value: "1"
          - name: NCCL_IB_SPLIT_DATA_ON_QPS
            value: "0"
          - name: NCCL_P2P_DISABLE 
            value: "0"
          - name: NCCL_IB_HCA
            value: "mlx5_0,mlx5_2,mlx5_3,mlx5_4,mlx5_5,mlx5_7,mlx5_8,mlx5_9"
          - name: NCCL_PXN_DISABLE
            value: "0"
          - name: NCCL_NET_PLUGIN
            value: none
          - name: ROCSHMEM_HEAP_SIZE 
            value: "12884901888"
          - name: NCCL_MIN_NCHANNELS
            value: "1"
          - name: NCCL_MAX_NCHANNELS
            value: "2"
          # Force larger, fewer packets (Aggressive Batching)
          - name: NCCL_BUFFSIZE
            value: "4194304"  # 4MB
          - name: VLLM_ROCM_USE_AITER
            value: "1"
          - name: VLLM_ROCM_USE_AITER_MOE
            value: "1"
          - name: VLLM_NIXL_SIDE_CHANNEL_HOST
            valueFrom:
              fieldRef:
                fieldPath: status.podIP
          # Use cache directories from the mounted volume under one easy to mount
          # root directory.
          - name: CUDA_CACHE_PATH
            value: /var/cache/vllm/cuda
          - name: CCACHE_DIR
            value: /var/cache/vllm/ccache
          - name: VLLM_CACHE_ROOT
            value: /var/cache/vllm/vllm
          - name: FLASHINFER_WORKSPACE_BASE
            value: /var/cache/vllm/flashinfer
          # HuggingFace is likely to be quite a bit larger, give it its own cache
          - name: HF_HUB_CACHE
            value: /var/cache/huggingface
          - name: TORCHINDUCTOR_MAX_AUTOTUNE
            value: "1"
          ports:
          - containerPort: 8200
            name: metrics
            protocol: TCP
          startupProbe:
            httpGet:
              path: /health
              port: metrics
            initialDelaySeconds: 0
            periodSeconds: 1
            timeoutSeconds: 5
            failureThreshold: 2700
          livenessProbe:
            httpGet:
              path: /health
              port: metrics
            periodSeconds: 30
            timeoutSeconds: 5
            failureThreshold: 3
          readinessProbe:
            httpGet:
              path: /v1/models
              port: metrics
            periodSeconds: 10
            timeoutSeconds: 5
            failureThreshold: 3
          resources:
            limits:
              ephemeral-storage: 1Ti
              memory: 512Gi
              amd.com/gpu: "8"
            requests:
              cpu: 32
              ephemeral-storage: 1Ti
              memory: 512Gi
              amd.com/gpu: "8"
          volumeMounts:
            - name: dshm
              mountPath: /dev/shm
            - name: hf-cache
              mountPath: /var/cache/huggingface
            - name: jit-cache
              mountPath: /var/cache/vllm
            - name: devinf
              mountPath: /dev/infiniband
            - name: model-storage
              mountPath: /mnt/models
              readOnly: true
            - name: aiter-cache
              mountPath: /mnt/aiter-cache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</si>
</sst>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980000"/>
      <name val="Arial"/>
      <scheme val="minor"/>
    </font>
    <font>
      <u/>
      <color rgb="FF000000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2" fontId="4" numFmtId="0" xfId="0" applyAlignment="1" applyFill="1" applyFont="1">
      <alignment readingOrder="0"/>
    </xf>
    <xf borderId="0" fillId="2" fontId="4" numFmtId="4" xfId="0" applyAlignment="1" applyFont="1" applyNumberFormat="1">
      <alignment readingOrder="0"/>
    </xf>
    <xf borderId="0" fillId="2" fontId="4" numFmtId="4" xfId="0" applyFont="1" applyNumberFormat="1"/>
    <xf borderId="0" fillId="3" fontId="4" numFmtId="0" xfId="0" applyAlignment="1" applyFill="1" applyFont="1">
      <alignment readingOrder="0"/>
    </xf>
    <xf borderId="0" fillId="3" fontId="4" numFmtId="4" xfId="0" applyAlignment="1" applyFont="1" applyNumberFormat="1">
      <alignment readingOrder="0"/>
    </xf>
    <xf borderId="0" fillId="3" fontId="4" numFmtId="4" xfId="0" applyFont="1" applyNumberFormat="1"/>
    <xf borderId="0" fillId="4" fontId="4" numFmtId="0" xfId="0" applyAlignment="1" applyFill="1" applyFont="1">
      <alignment readingOrder="0"/>
    </xf>
    <xf borderId="0" fillId="4" fontId="4" numFmtId="4" xfId="0" applyAlignment="1" applyFont="1" applyNumberFormat="1">
      <alignment readingOrder="0"/>
    </xf>
    <xf borderId="0" fillId="4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run Sundar Rabindranath" id="{a34adb58-0857-42c8-afe1-0f60dd253a5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8" dT="2026-02-12T20:48:06.00" personId="{a34adb58-0857-42c8-afe1-0f60dd253a5d}" id="{7327dae0-f393-4719-bffc-d9716a35282a}" done="0">
    <x18tc:text xml:space="preserve">doesn't matter that it changes - the goal here is to have a big enough OSL so the grafana throughput plot is stable</x18tc:text>
  </x18tc:threadedComment>
  <x18tc:threadedComment ref="E8" dT="2026-02-12T21:30:57.00" personId="{a34adb58-0857-42c8-afe1-0f60dd253a5d}" id="{fec01b6d-0c26-4d72-a930-8ec31325fd50}" done="0">
    <x18tc:text xml:space="preserve">Each GPU is running these many requests.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ithub.com/tlrmchlsmth/llm-d/tree/varun/rocm_wide_ep-benchmarking" TargetMode="External"/><Relationship Id="rId5" Type="http://schemas.openxmlformats.org/officeDocument/2006/relationships/hyperlink" Target="https://github.com/tlrmchlsmth/vllm/tree/rocm_wide_ep" TargetMode="External"/><Relationship Id="rId6" Type="http://schemas.openxmlformats.org/officeDocument/2006/relationships/hyperlink" Target="http://quay.io/rh-ee-vsundarr/amd-vllm:rebase-dp-eplb-fix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10" max="14" width="21.25"/>
  </cols>
  <sheetData>
    <row r="1">
      <c r="C1" s="1" t="s">
        <v>0</v>
      </c>
    </row>
    <row r="2">
      <c r="C2" s="2" t="s">
        <v>1</v>
      </c>
    </row>
    <row r="3">
      <c r="C3" s="2" t="s">
        <v>2</v>
      </c>
    </row>
    <row r="4">
      <c r="C4" s="2" t="s">
        <v>3</v>
      </c>
    </row>
    <row r="5">
      <c r="C5" s="3" t="s">
        <v>4</v>
      </c>
    </row>
    <row r="6">
      <c r="C6" s="4" t="s">
        <v>5</v>
      </c>
    </row>
    <row r="7">
      <c r="C7" s="4" t="s">
        <v>6</v>
      </c>
      <c r="D7" s="4">
        <v>4.0</v>
      </c>
      <c r="E7" s="4"/>
    </row>
    <row r="8"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4" t="s">
        <v>17</v>
      </c>
      <c r="N8" s="4" t="s">
        <v>18</v>
      </c>
      <c r="O8" s="4" t="s">
        <v>19</v>
      </c>
    </row>
    <row r="9">
      <c r="C9" s="4">
        <v>2.0</v>
      </c>
      <c r="D9" s="5">
        <f t="shared" ref="D9:D22" si="1">C9*8</f>
        <v>16</v>
      </c>
      <c r="E9" s="4">
        <v>4.0</v>
      </c>
      <c r="F9" s="5">
        <f t="shared" ref="F9:F22" si="2">D9*E9</f>
        <v>64</v>
      </c>
      <c r="G9" s="4">
        <v>64.0</v>
      </c>
      <c r="H9" s="4">
        <v>2048.0</v>
      </c>
      <c r="I9" s="4">
        <v>2048.0</v>
      </c>
      <c r="J9" s="4">
        <v>1261.0</v>
      </c>
      <c r="K9" s="6">
        <f t="shared" ref="K9:K22" si="3">J9/C9</f>
        <v>630.5</v>
      </c>
      <c r="L9" s="7">
        <f t="shared" ref="L9:L22" si="4">J9/D9</f>
        <v>78.8125</v>
      </c>
      <c r="M9" s="7">
        <f t="shared" ref="M9:M22" si="5">J9/F9</f>
        <v>19.703125</v>
      </c>
      <c r="N9" s="4">
        <v>61.8</v>
      </c>
    </row>
    <row r="10">
      <c r="C10" s="4">
        <v>2.0</v>
      </c>
      <c r="D10" s="5">
        <f t="shared" si="1"/>
        <v>16</v>
      </c>
      <c r="E10" s="4">
        <v>8.0</v>
      </c>
      <c r="F10" s="5">
        <f t="shared" si="2"/>
        <v>128</v>
      </c>
      <c r="G10" s="4">
        <v>128.0</v>
      </c>
      <c r="H10" s="4">
        <v>2048.0</v>
      </c>
      <c r="I10" s="4">
        <v>2048.0</v>
      </c>
      <c r="J10" s="4">
        <v>2330.0</v>
      </c>
      <c r="K10" s="6">
        <f t="shared" si="3"/>
        <v>1165</v>
      </c>
      <c r="L10" s="7">
        <f t="shared" si="4"/>
        <v>145.625</v>
      </c>
      <c r="M10" s="7">
        <f t="shared" si="5"/>
        <v>18.203125</v>
      </c>
      <c r="N10" s="4">
        <v>62.5</v>
      </c>
    </row>
    <row r="11">
      <c r="C11" s="4">
        <v>2.0</v>
      </c>
      <c r="D11" s="5">
        <f t="shared" si="1"/>
        <v>16</v>
      </c>
      <c r="E11" s="4">
        <v>16.0</v>
      </c>
      <c r="F11" s="5">
        <f t="shared" si="2"/>
        <v>256</v>
      </c>
      <c r="G11" s="4">
        <v>256.0</v>
      </c>
      <c r="H11" s="4">
        <v>2048.0</v>
      </c>
      <c r="I11" s="4">
        <v>1024.0</v>
      </c>
      <c r="J11" s="4">
        <v>4301.0</v>
      </c>
      <c r="K11" s="6">
        <f t="shared" si="3"/>
        <v>2150.5</v>
      </c>
      <c r="L11" s="7">
        <f t="shared" si="4"/>
        <v>268.8125</v>
      </c>
      <c r="M11" s="7">
        <f t="shared" si="5"/>
        <v>16.80078125</v>
      </c>
      <c r="N11" s="4">
        <v>62.6</v>
      </c>
    </row>
    <row r="12">
      <c r="C12" s="4">
        <v>2.0</v>
      </c>
      <c r="D12" s="5">
        <f t="shared" si="1"/>
        <v>16</v>
      </c>
      <c r="E12" s="4">
        <v>32.0</v>
      </c>
      <c r="F12" s="5">
        <f t="shared" si="2"/>
        <v>512</v>
      </c>
      <c r="G12" s="4">
        <v>512.0</v>
      </c>
      <c r="H12" s="4">
        <v>2048.0</v>
      </c>
      <c r="I12" s="4">
        <v>1024.0</v>
      </c>
      <c r="J12" s="4">
        <v>7830.0</v>
      </c>
      <c r="K12" s="6">
        <f t="shared" si="3"/>
        <v>3915</v>
      </c>
      <c r="L12" s="7">
        <f t="shared" si="4"/>
        <v>489.375</v>
      </c>
      <c r="M12" s="7">
        <f t="shared" si="5"/>
        <v>15.29296875</v>
      </c>
      <c r="N12" s="4">
        <v>64.6</v>
      </c>
    </row>
    <row r="13">
      <c r="C13" s="4">
        <v>2.0</v>
      </c>
      <c r="D13" s="5">
        <f t="shared" si="1"/>
        <v>16</v>
      </c>
      <c r="E13" s="4">
        <v>64.0</v>
      </c>
      <c r="F13" s="5">
        <f t="shared" si="2"/>
        <v>1024</v>
      </c>
      <c r="G13" s="4">
        <v>1024.0</v>
      </c>
      <c r="H13" s="4">
        <v>2048.0</v>
      </c>
      <c r="I13" s="4">
        <v>512.0</v>
      </c>
      <c r="J13" s="4">
        <v>12493.0</v>
      </c>
      <c r="K13" s="6">
        <f t="shared" si="3"/>
        <v>6246.5</v>
      </c>
      <c r="L13" s="7">
        <f t="shared" si="4"/>
        <v>780.8125</v>
      </c>
      <c r="M13" s="7">
        <f t="shared" si="5"/>
        <v>12.20019531</v>
      </c>
      <c r="N13" s="4">
        <v>87.8</v>
      </c>
    </row>
    <row r="14">
      <c r="C14" s="4">
        <v>2.0</v>
      </c>
      <c r="D14" s="5">
        <f t="shared" si="1"/>
        <v>16</v>
      </c>
      <c r="E14" s="8">
        <v>128.0</v>
      </c>
      <c r="F14" s="5">
        <f t="shared" si="2"/>
        <v>2048</v>
      </c>
      <c r="G14" s="5">
        <f>F14/D7</f>
        <v>512</v>
      </c>
      <c r="H14" s="4">
        <v>2048.0</v>
      </c>
      <c r="I14" s="4">
        <v>2048.0</v>
      </c>
      <c r="J14" s="8">
        <v>16988.0</v>
      </c>
      <c r="K14" s="9">
        <f t="shared" si="3"/>
        <v>8494</v>
      </c>
      <c r="L14" s="10">
        <f t="shared" si="4"/>
        <v>1061.75</v>
      </c>
      <c r="M14" s="10">
        <f t="shared" si="5"/>
        <v>8.294921875</v>
      </c>
      <c r="N14" s="8">
        <v>126.0</v>
      </c>
    </row>
    <row r="15">
      <c r="C15" s="4">
        <v>2.0</v>
      </c>
      <c r="D15" s="5">
        <f t="shared" si="1"/>
        <v>16</v>
      </c>
      <c r="E15" s="11">
        <v>256.0</v>
      </c>
      <c r="F15" s="5">
        <f t="shared" si="2"/>
        <v>4096</v>
      </c>
      <c r="G15" s="5">
        <f>F15/D7</f>
        <v>1024</v>
      </c>
      <c r="H15" s="4">
        <v>2048.0</v>
      </c>
      <c r="I15" s="4">
        <v>1024.0</v>
      </c>
      <c r="J15" s="11">
        <v>23351.0</v>
      </c>
      <c r="K15" s="12">
        <f t="shared" si="3"/>
        <v>11675.5</v>
      </c>
      <c r="L15" s="13">
        <f t="shared" si="4"/>
        <v>1459.4375</v>
      </c>
      <c r="M15" s="13">
        <f t="shared" si="5"/>
        <v>5.700927734</v>
      </c>
      <c r="N15" s="11">
        <v>171.0</v>
      </c>
    </row>
    <row r="16">
      <c r="C16" s="4">
        <v>2.0</v>
      </c>
      <c r="D16" s="5">
        <f t="shared" si="1"/>
        <v>16</v>
      </c>
      <c r="E16" s="14">
        <v>448.0</v>
      </c>
      <c r="F16" s="5">
        <f t="shared" si="2"/>
        <v>7168</v>
      </c>
      <c r="G16" s="5">
        <f>F16/D7</f>
        <v>1792</v>
      </c>
      <c r="H16" s="4">
        <v>2048.0</v>
      </c>
      <c r="I16" s="4">
        <v>512.0</v>
      </c>
      <c r="J16" s="14">
        <v>24519.0</v>
      </c>
      <c r="K16" s="15">
        <f t="shared" si="3"/>
        <v>12259.5</v>
      </c>
      <c r="L16" s="16">
        <f t="shared" si="4"/>
        <v>1532.4375</v>
      </c>
      <c r="M16" s="16">
        <f t="shared" si="5"/>
        <v>3.42061942</v>
      </c>
      <c r="N16" s="14" t="s">
        <v>20</v>
      </c>
      <c r="O16" s="4" t="s">
        <v>21</v>
      </c>
    </row>
    <row r="17">
      <c r="C17" s="4">
        <v>4.0</v>
      </c>
      <c r="D17" s="5">
        <f t="shared" si="1"/>
        <v>32</v>
      </c>
      <c r="E17" s="8">
        <v>128.0</v>
      </c>
      <c r="F17" s="5">
        <f t="shared" si="2"/>
        <v>4096</v>
      </c>
      <c r="G17" s="5">
        <f>F17/D7</f>
        <v>1024</v>
      </c>
      <c r="H17" s="4">
        <v>2048.0</v>
      </c>
      <c r="I17" s="4">
        <v>1024.0</v>
      </c>
      <c r="J17" s="8">
        <v>28037.0</v>
      </c>
      <c r="K17" s="9">
        <f t="shared" si="3"/>
        <v>7009.25</v>
      </c>
      <c r="L17" s="10">
        <f t="shared" si="4"/>
        <v>876.15625</v>
      </c>
      <c r="M17" s="10">
        <f t="shared" si="5"/>
        <v>6.844970703</v>
      </c>
      <c r="N17" s="8">
        <v>149.0</v>
      </c>
    </row>
    <row r="18">
      <c r="C18" s="4">
        <v>4.0</v>
      </c>
      <c r="D18" s="5">
        <f t="shared" si="1"/>
        <v>32</v>
      </c>
      <c r="E18" s="11">
        <v>256.0</v>
      </c>
      <c r="F18" s="5">
        <f t="shared" si="2"/>
        <v>8192</v>
      </c>
      <c r="G18" s="5">
        <f>F18/D7</f>
        <v>2048</v>
      </c>
      <c r="H18" s="4">
        <v>2048.0</v>
      </c>
      <c r="I18" s="4">
        <v>2048.0</v>
      </c>
      <c r="J18" s="11">
        <v>36817.0</v>
      </c>
      <c r="K18" s="12">
        <f t="shared" si="3"/>
        <v>9204.25</v>
      </c>
      <c r="L18" s="13">
        <f t="shared" si="4"/>
        <v>1150.53125</v>
      </c>
      <c r="M18" s="13">
        <f t="shared" si="5"/>
        <v>4.494262695</v>
      </c>
      <c r="N18" s="11">
        <v>243.0</v>
      </c>
    </row>
    <row r="19">
      <c r="C19" s="4">
        <v>4.0</v>
      </c>
      <c r="D19" s="5">
        <f t="shared" si="1"/>
        <v>32</v>
      </c>
      <c r="E19" s="14">
        <v>448.0</v>
      </c>
      <c r="F19" s="5">
        <f t="shared" si="2"/>
        <v>14336</v>
      </c>
      <c r="G19" s="5">
        <f>F19/D7</f>
        <v>3584</v>
      </c>
      <c r="H19" s="4">
        <v>2048.0</v>
      </c>
      <c r="I19" s="4">
        <v>256.0</v>
      </c>
      <c r="J19" s="14">
        <v>35827.0</v>
      </c>
      <c r="K19" s="15">
        <f t="shared" si="3"/>
        <v>8956.75</v>
      </c>
      <c r="L19" s="16">
        <f t="shared" si="4"/>
        <v>1119.59375</v>
      </c>
      <c r="M19" s="16">
        <f t="shared" si="5"/>
        <v>2.499093192</v>
      </c>
      <c r="N19" s="14">
        <v>352.0</v>
      </c>
    </row>
    <row r="20">
      <c r="C20" s="4">
        <v>6.0</v>
      </c>
      <c r="D20" s="5">
        <f t="shared" si="1"/>
        <v>48</v>
      </c>
      <c r="E20" s="8">
        <v>128.0</v>
      </c>
      <c r="F20" s="5">
        <f t="shared" si="2"/>
        <v>6144</v>
      </c>
      <c r="G20" s="5">
        <f>F20/D7</f>
        <v>1536</v>
      </c>
      <c r="H20" s="4">
        <v>2048.0</v>
      </c>
      <c r="I20" s="4">
        <v>1024.0</v>
      </c>
      <c r="J20" s="8">
        <v>34384.0</v>
      </c>
      <c r="K20" s="9">
        <f t="shared" si="3"/>
        <v>5730.666667</v>
      </c>
      <c r="L20" s="10">
        <f t="shared" si="4"/>
        <v>716.3333333</v>
      </c>
      <c r="M20" s="10">
        <f t="shared" si="5"/>
        <v>5.596354167</v>
      </c>
      <c r="N20" s="8">
        <v>182.0</v>
      </c>
    </row>
    <row r="21">
      <c r="C21" s="4">
        <v>6.0</v>
      </c>
      <c r="D21" s="5">
        <f t="shared" si="1"/>
        <v>48</v>
      </c>
      <c r="E21" s="11">
        <v>256.0</v>
      </c>
      <c r="F21" s="5">
        <f t="shared" si="2"/>
        <v>12288</v>
      </c>
      <c r="G21" s="5">
        <f>F21/D7</f>
        <v>3072</v>
      </c>
      <c r="H21" s="4">
        <v>2048.0</v>
      </c>
      <c r="I21" s="4">
        <v>1024.0</v>
      </c>
      <c r="J21" s="11">
        <v>43747.0</v>
      </c>
      <c r="K21" s="12">
        <f t="shared" si="3"/>
        <v>7291.166667</v>
      </c>
      <c r="L21" s="13">
        <f t="shared" si="4"/>
        <v>911.3958333</v>
      </c>
      <c r="M21" s="13">
        <f t="shared" si="5"/>
        <v>3.560139974</v>
      </c>
      <c r="N21" s="11">
        <v>268.0</v>
      </c>
    </row>
    <row r="22">
      <c r="C22" s="4">
        <v>6.0</v>
      </c>
      <c r="D22" s="5">
        <f t="shared" si="1"/>
        <v>48</v>
      </c>
      <c r="E22" s="14">
        <v>448.0</v>
      </c>
      <c r="F22" s="5">
        <f t="shared" si="2"/>
        <v>21504</v>
      </c>
      <c r="G22" s="5">
        <f>F22/D7</f>
        <v>5376</v>
      </c>
      <c r="H22" s="4">
        <v>2048.0</v>
      </c>
      <c r="I22" s="4">
        <v>1024.0</v>
      </c>
      <c r="J22" s="14">
        <v>42996.0</v>
      </c>
      <c r="K22" s="15">
        <f t="shared" si="3"/>
        <v>7166</v>
      </c>
      <c r="L22" s="16">
        <f t="shared" si="4"/>
        <v>895.75</v>
      </c>
      <c r="M22" s="16">
        <f t="shared" si="5"/>
        <v>1.999441964</v>
      </c>
      <c r="N22" s="14">
        <v>628.0</v>
      </c>
    </row>
  </sheetData>
  <hyperlinks>
    <hyperlink r:id="rId4" ref="C2"/>
    <hyperlink r:id="rId5" ref="C3"/>
    <hyperlink r:id="rId6" ref="C4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" t="s">
        <v>22</v>
      </c>
    </row>
  </sheetData>
  <drawing r:id="rId1"/>
</worksheet>
</file>